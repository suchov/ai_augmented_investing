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CI Week-over-Week" sheetId="2" state="visible" r:id="rId4"/>
    <sheet name="Screen vs Criteri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<sst xmlns="http://schemas.openxmlformats.org/spreadsheetml/2006/main" count="135" uniqueCount="107">
  <si>
    <t xml:space="preserve">Pro Research — Equity Comparison</t>
  </si>
  <si>
    <t xml:space="preserve">Source: Investing.com Pro Research PDFs (pro_research/). Figures transcribed as printed on each report date.</t>
  </si>
  <si>
    <t xml:space="preserve">Metric</t>
  </si>
  <si>
    <t xml:space="preserve">Cigna (CI)
Jun 16 2026</t>
  </si>
  <si>
    <t xml:space="preserve">Cigna (CI)
Jun 23 2026</t>
  </si>
  <si>
    <t xml:space="preserve">Liberty Global
(LBTYA) Jun 24</t>
  </si>
  <si>
    <t xml:space="preserve">Univ. Health Svcs
(UHS) Jun 20</t>
  </si>
  <si>
    <t xml:space="preserve">PRICE &amp; MARKET</t>
  </si>
  <si>
    <t xml:space="preserve">Stock Price ($)</t>
  </si>
  <si>
    <t xml:space="preserve">52-Week Low ($)</t>
  </si>
  <si>
    <t xml:space="preserve">52-Week High ($)</t>
  </si>
  <si>
    <t xml:space="preserve">1-Year Change</t>
  </si>
  <si>
    <t xml:space="preserve">Market Cap</t>
  </si>
  <si>
    <t xml:space="preserve">$77.7B</t>
  </si>
  <si>
    <t xml:space="preserve">$74.6B</t>
  </si>
  <si>
    <t xml:space="preserve">$3.8B</t>
  </si>
  <si>
    <t xml:space="preserve">$8.5B</t>
  </si>
  <si>
    <t xml:space="preserve">Beta (5Y)</t>
  </si>
  <si>
    <t xml:space="preserve">REVENUE &amp; EARNINGS</t>
  </si>
  <si>
    <t xml:space="preserve">Revenue (TTM)</t>
  </si>
  <si>
    <t xml:space="preserve">$277.9B</t>
  </si>
  <si>
    <t xml:space="preserve">$5.0B</t>
  </si>
  <si>
    <t xml:space="preserve">$17.8B</t>
  </si>
  <si>
    <t xml:space="preserve">Revenue Forecast</t>
  </si>
  <si>
    <t xml:space="preserve">$283.5B</t>
  </si>
  <si>
    <t xml:space="preserve">$5.1B</t>
  </si>
  <si>
    <t xml:space="preserve">$18.6B</t>
  </si>
  <si>
    <t xml:space="preserve">EPS Actual (TTM)</t>
  </si>
  <si>
    <t xml:space="preserve">EPS Estimate (fwd)</t>
  </si>
  <si>
    <t xml:space="preserve">EPS Revisions 90d (up)</t>
  </si>
  <si>
    <t xml:space="preserve">EPS Revisions 90d (down)</t>
  </si>
  <si>
    <t xml:space="preserve">Next Earnings</t>
  </si>
  <si>
    <t xml:space="preserve">2026-07-30</t>
  </si>
  <si>
    <t xml:space="preserve">2026-07-24</t>
  </si>
  <si>
    <t xml:space="preserve">2026-07-27</t>
  </si>
  <si>
    <t xml:space="preserve">VALUATION</t>
  </si>
  <si>
    <t xml:space="preserve">P/E Ratio (TTM)</t>
  </si>
  <si>
    <t xml:space="preserve">P/E Ratio (Fwd)</t>
  </si>
  <si>
    <t xml:space="preserve">PEG Ratio</t>
  </si>
  <si>
    <t xml:space="preserve">EV / EBITDA</t>
  </si>
  <si>
    <t xml:space="preserve">Price / Book (FY26)</t>
  </si>
  <si>
    <t xml:space="preserve">Book Value / Share ($)</t>
  </si>
  <si>
    <t xml:space="preserve">FCF Yield</t>
  </si>
  <si>
    <t xml:space="preserve">DIVIDEND</t>
  </si>
  <si>
    <t xml:space="preserve">Dividend Yield</t>
  </si>
  <si>
    <t xml:space="preserve">Div. Growth Streak</t>
  </si>
  <si>
    <t xml:space="preserve">5 yrs</t>
  </si>
  <si>
    <t xml:space="preserve">-</t>
  </si>
  <si>
    <t xml:space="preserve">PRO RESEARCH RATINGS (x/10)</t>
  </si>
  <si>
    <t xml:space="preserve">Growth Rating</t>
  </si>
  <si>
    <t xml:space="preserve">Profitability Rating</t>
  </si>
  <si>
    <t xml:space="preserve">Cash Flow Rating</t>
  </si>
  <si>
    <t xml:space="preserve">FAIR VALUE (model)</t>
  </si>
  <si>
    <t xml:space="preserve">Fair Value Est. ($)</t>
  </si>
  <si>
    <t xml:space="preserve">Implied Upside</t>
  </si>
  <si>
    <t xml:space="preserve">Notes:</t>
  </si>
  <si>
    <t xml:space="preserve">- The two Cigna columns are the SAME report a week apart - use them to see week-over-week drift (see 'CI Week-over-Week' tab).</t>
  </si>
  <si>
    <t xml:space="preserve">- P/E Ratio (TTM) uses trailing GAAP EPS; P/E (Fwd) uses adjusted forward EPS, so the two bases differ per the source.</t>
  </si>
  <si>
    <t xml:space="preserve">- Negative P/E / EPS for LBTYA reflects GAAP losses; PEG shows 0.00 where the report could not compute it.</t>
  </si>
  <si>
    <t xml:space="preserve">- Ratings are on the report's own 0-10 scale (higher = better).</t>
  </si>
  <si>
    <t xml:space="preserve">Cigna (CI) - What moved between Jun 16 and Jun 23, 2026</t>
  </si>
  <si>
    <t xml:space="preserve">Jun 16</t>
  </si>
  <si>
    <t xml:space="preserve">Jun 23</t>
  </si>
  <si>
    <t xml:space="preserve">Change</t>
  </si>
  <si>
    <t xml:space="preserve">Market Cap ($B)</t>
  </si>
  <si>
    <t xml:space="preserve">EPS Revisions up (90d)</t>
  </si>
  <si>
    <t xml:space="preserve">EPS Revisions down (90d)</t>
  </si>
  <si>
    <t xml:space="preserve">Change = Jun 23 minus Jun 16. Price fell ~4% on the week while forward valuation cheapened and analyst upside widened.</t>
  </si>
  <si>
    <t xml:space="preserve">Screen against your README criteria (Special-Situation / Value)</t>
  </si>
  <si>
    <t xml:space="preserve">PASS / FAIL judged from report figures. N/A = the report does not disclose that metric (would need Fiscal.ai / 10-K).</t>
  </si>
  <si>
    <t xml:space="preserve">Criterion</t>
  </si>
  <si>
    <t xml:space="preserve">Threshold</t>
  </si>
  <si>
    <t xml:space="preserve">CI (Jun 23)</t>
  </si>
  <si>
    <t xml:space="preserve">LBTYA</t>
  </si>
  <si>
    <t xml:space="preserve">UHS</t>
  </si>
  <si>
    <t xml:space="preserve">Notes</t>
  </si>
  <si>
    <t xml:space="preserve">P/E Ratio</t>
  </si>
  <si>
    <t xml:space="preserve">&lt; 15</t>
  </si>
  <si>
    <t xml:space="preserve">11.9x</t>
  </si>
  <si>
    <t xml:space="preserve">neg.</t>
  </si>
  <si>
    <t xml:space="preserve">5.6x</t>
  </si>
  <si>
    <t xml:space="preserve">LBTYA has GAAP losses</t>
  </si>
  <si>
    <t xml:space="preserve">&gt; 8%</t>
  </si>
  <si>
    <t xml:space="preserve">10.2%</t>
  </si>
  <si>
    <t xml:space="preserve">-8.2%</t>
  </si>
  <si>
    <t xml:space="preserve">10.7%</t>
  </si>
  <si>
    <t xml:space="preserve">CI &amp; UHS strongly positive</t>
  </si>
  <si>
    <t xml:space="preserve">Net Debt / EBITDA</t>
  </si>
  <si>
    <t xml:space="preserve">&lt; 3</t>
  </si>
  <si>
    <t xml:space="preserve">n/a</t>
  </si>
  <si>
    <t xml:space="preserve">6.4x</t>
  </si>
  <si>
    <t xml:space="preserve">Only LBTYA disclosed (6.4x)</t>
  </si>
  <si>
    <t xml:space="preserve">Buybacks</t>
  </si>
  <si>
    <t xml:space="preserve">Active</t>
  </si>
  <si>
    <t xml:space="preserve">Yes</t>
  </si>
  <si>
    <t xml:space="preserve">All flagged 'aggressively buying back'</t>
  </si>
  <si>
    <t xml:space="preserve">Revenue Growth</t>
  </si>
  <si>
    <t xml:space="preserve">&gt; 5%</t>
  </si>
  <si>
    <t xml:space="preserve">~2% fwd</t>
  </si>
  <si>
    <t xml:space="preserve">+9.6% Q1</t>
  </si>
  <si>
    <t xml:space="preserve">UHS growing; CI/LBTYA ~flat</t>
  </si>
  <si>
    <t xml:space="preserve">ROIC</t>
  </si>
  <si>
    <t xml:space="preserve">&gt; 15%</t>
  </si>
  <si>
    <t xml:space="preserve">Not in reports - needs source data</t>
  </si>
  <si>
    <t xml:space="preserve">Insider Ownership</t>
  </si>
  <si>
    <t xml:space="preserve">&gt; 10%</t>
  </si>
  <si>
    <t xml:space="preserve">Not in reports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</si>
</sst>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"/>
    <numFmt numFmtId="166" formatCode="0.0%;\(0.0%\)"/>
    <numFmt numFmtId="167" formatCode="@"/>
    <numFmt numFmtId="168" formatCode="0.00"/>
    <numFmt numFmtId="169" formatCode="0.00;\(0.00\)"/>
    <numFmt numFmtId="170" formatCode="0"/>
    <numFmt numFmtId="171" formatCode="0.0\x;\(0.0&quot;x)&quot;"/>
    <numFmt numFmtId="172" formatCode="0.0\x"/>
    <numFmt numFmtId="173" formatCode="0.00\x"/>
    <numFmt numFmtId="174" formatCode="\$#,##0.0"/>
    <numFmt numFmtId="175" formatCode="0.00%"/>
    <numFmt numFmtId="176" formatCode="0.0"/>
    <numFmt numFmtId="17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8EA9DB"/>
        <bgColor rgb="FF969696"/>
      </patternFill>
    </fill>
    <fill>
      <patternFill patternType="solid">
        <fgColor rgb="FFFCE4D6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CE4D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/>
      <c r="C5" s="5"/>
      <c r="D5" s="5"/>
      <c r="E5" s="5"/>
    </row>
    <row r="6" customFormat="false" ht="15" hidden="false" customHeight="false" outlineLevel="0" collapsed="false">
      <c r="A6" s="6" t="s">
        <v>8</v>
      </c>
      <c r="B6" s="7" t="n">
        <v>293.8</v>
      </c>
      <c r="C6" s="7" t="n">
        <v>282.1</v>
      </c>
      <c r="D6" s="8" t="n">
        <v>11.2</v>
      </c>
      <c r="E6" s="8" t="n">
        <v>141.2</v>
      </c>
    </row>
    <row r="7" customFormat="false" ht="15" hidden="false" customHeight="false" outlineLevel="0" collapsed="false">
      <c r="A7" s="6" t="s">
        <v>9</v>
      </c>
      <c r="B7" s="7" t="n">
        <v>235.5</v>
      </c>
      <c r="C7" s="7" t="n">
        <v>235.5</v>
      </c>
      <c r="D7" s="8" t="n">
        <v>9.62</v>
      </c>
      <c r="E7" s="8" t="n">
        <v>140.1</v>
      </c>
    </row>
    <row r="8" customFormat="false" ht="15" hidden="false" customHeight="false" outlineLevel="0" collapsed="false">
      <c r="A8" s="6" t="s">
        <v>10</v>
      </c>
      <c r="B8" s="7" t="n">
        <v>331.5</v>
      </c>
      <c r="C8" s="7" t="n">
        <v>331.5</v>
      </c>
      <c r="D8" s="8" t="n">
        <v>13.5</v>
      </c>
      <c r="E8" s="8" t="n">
        <v>245.5</v>
      </c>
    </row>
    <row r="9" customFormat="false" ht="15" hidden="false" customHeight="false" outlineLevel="0" collapsed="false">
      <c r="A9" s="6" t="s">
        <v>11</v>
      </c>
      <c r="B9" s="9" t="n">
        <v>-0.0448</v>
      </c>
      <c r="C9" s="9" t="n">
        <v>-0.0904</v>
      </c>
      <c r="D9" s="10" t="n">
        <v>0.123</v>
      </c>
      <c r="E9" s="10" t="n">
        <v>-0.174</v>
      </c>
    </row>
    <row r="10" customFormat="false" ht="15" hidden="false" customHeight="false" outlineLevel="0" collapsed="false">
      <c r="A10" s="6" t="s">
        <v>12</v>
      </c>
      <c r="B10" s="11" t="s">
        <v>13</v>
      </c>
      <c r="C10" s="11" t="s">
        <v>14</v>
      </c>
      <c r="D10" s="12" t="s">
        <v>15</v>
      </c>
      <c r="E10" s="12" t="s">
        <v>16</v>
      </c>
    </row>
    <row r="11" customFormat="false" ht="15" hidden="false" customHeight="false" outlineLevel="0" collapsed="false">
      <c r="A11" s="6" t="s">
        <v>17</v>
      </c>
      <c r="B11" s="13" t="n">
        <v>0.3</v>
      </c>
      <c r="C11" s="13" t="n">
        <v>0.3</v>
      </c>
      <c r="D11" s="14" t="n">
        <v>0.73</v>
      </c>
      <c r="E11" s="14" t="n">
        <v>1.08</v>
      </c>
    </row>
    <row r="12" customFormat="false" ht="15" hidden="false" customHeight="false" outlineLevel="0" collapsed="false">
      <c r="A12" s="4" t="s">
        <v>18</v>
      </c>
      <c r="B12" s="5"/>
      <c r="C12" s="5"/>
      <c r="D12" s="5"/>
      <c r="E12" s="5"/>
    </row>
    <row r="13" customFormat="false" ht="15" hidden="false" customHeight="false" outlineLevel="0" collapsed="false">
      <c r="A13" s="6" t="s">
        <v>19</v>
      </c>
      <c r="B13" s="11" t="s">
        <v>20</v>
      </c>
      <c r="C13" s="11" t="s">
        <v>20</v>
      </c>
      <c r="D13" s="12" t="s">
        <v>21</v>
      </c>
      <c r="E13" s="12" t="s">
        <v>22</v>
      </c>
    </row>
    <row r="14" customFormat="false" ht="15" hidden="false" customHeight="false" outlineLevel="0" collapsed="false">
      <c r="A14" s="6" t="s">
        <v>23</v>
      </c>
      <c r="B14" s="11" t="s">
        <v>24</v>
      </c>
      <c r="C14" s="11" t="s">
        <v>24</v>
      </c>
      <c r="D14" s="12" t="s">
        <v>25</v>
      </c>
      <c r="E14" s="12" t="s">
        <v>26</v>
      </c>
    </row>
    <row r="15" customFormat="false" ht="15" hidden="false" customHeight="false" outlineLevel="0" collapsed="false">
      <c r="A15" s="6" t="s">
        <v>27</v>
      </c>
      <c r="B15" s="15" t="n">
        <v>29.8</v>
      </c>
      <c r="C15" s="15" t="n">
        <v>29.8</v>
      </c>
      <c r="D15" s="16" t="n">
        <v>-20.9</v>
      </c>
      <c r="E15" s="16" t="n">
        <v>21.7</v>
      </c>
    </row>
    <row r="16" customFormat="false" ht="15" hidden="false" customHeight="false" outlineLevel="0" collapsed="false">
      <c r="A16" s="6" t="s">
        <v>28</v>
      </c>
      <c r="B16" s="15" t="n">
        <v>30.2</v>
      </c>
      <c r="C16" s="15" t="n">
        <v>30.2</v>
      </c>
      <c r="D16" s="16" t="n">
        <v>-1.64</v>
      </c>
      <c r="E16" s="16" t="n">
        <v>23.2</v>
      </c>
    </row>
    <row r="17" customFormat="false" ht="15" hidden="false" customHeight="false" outlineLevel="0" collapsed="false">
      <c r="A17" s="6" t="s">
        <v>29</v>
      </c>
      <c r="B17" s="17" t="n">
        <v>14</v>
      </c>
      <c r="C17" s="17" t="n">
        <v>15</v>
      </c>
      <c r="D17" s="18" t="n">
        <v>0</v>
      </c>
      <c r="E17" s="18" t="n">
        <v>3</v>
      </c>
    </row>
    <row r="18" customFormat="false" ht="15" hidden="false" customHeight="false" outlineLevel="0" collapsed="false">
      <c r="A18" s="6" t="s">
        <v>30</v>
      </c>
      <c r="B18" s="17" t="n">
        <v>6</v>
      </c>
      <c r="C18" s="17" t="n">
        <v>7</v>
      </c>
      <c r="D18" s="18" t="n">
        <v>0</v>
      </c>
      <c r="E18" s="18" t="n">
        <v>6</v>
      </c>
    </row>
    <row r="19" customFormat="false" ht="15" hidden="false" customHeight="false" outlineLevel="0" collapsed="false">
      <c r="A19" s="6" t="s">
        <v>31</v>
      </c>
      <c r="B19" s="11" t="s">
        <v>32</v>
      </c>
      <c r="C19" s="11" t="s">
        <v>32</v>
      </c>
      <c r="D19" s="12" t="s">
        <v>33</v>
      </c>
      <c r="E19" s="12" t="s">
        <v>34</v>
      </c>
    </row>
    <row r="20" customFormat="false" ht="15" hidden="false" customHeight="false" outlineLevel="0" collapsed="false">
      <c r="A20" s="4" t="s">
        <v>35</v>
      </c>
      <c r="B20" s="5"/>
      <c r="C20" s="5"/>
      <c r="D20" s="5"/>
      <c r="E20" s="5"/>
    </row>
    <row r="21" customFormat="false" ht="15" hidden="false" customHeight="false" outlineLevel="0" collapsed="false">
      <c r="A21" s="6" t="s">
        <v>36</v>
      </c>
      <c r="B21" s="19" t="n">
        <v>12.3</v>
      </c>
      <c r="C21" s="19" t="n">
        <v>11.9</v>
      </c>
      <c r="D21" s="20" t="n">
        <v>-0.69</v>
      </c>
      <c r="E21" s="20" t="n">
        <v>5.62</v>
      </c>
    </row>
    <row r="22" customFormat="false" ht="15" hidden="false" customHeight="false" outlineLevel="0" collapsed="false">
      <c r="A22" s="6" t="s">
        <v>37</v>
      </c>
      <c r="B22" s="19" t="n">
        <v>9.86</v>
      </c>
      <c r="C22" s="19" t="n">
        <v>9.34</v>
      </c>
      <c r="D22" s="20" t="n">
        <v>-6.77</v>
      </c>
      <c r="E22" s="20" t="n">
        <v>6.08</v>
      </c>
    </row>
    <row r="23" customFormat="false" ht="15" hidden="false" customHeight="false" outlineLevel="0" collapsed="false">
      <c r="A23" s="6" t="s">
        <v>38</v>
      </c>
      <c r="B23" s="13" t="n">
        <v>0.4</v>
      </c>
      <c r="C23" s="13" t="n">
        <v>0.38</v>
      </c>
      <c r="D23" s="14" t="n">
        <v>0</v>
      </c>
      <c r="E23" s="14" t="n">
        <v>0.16</v>
      </c>
    </row>
    <row r="24" customFormat="false" ht="15" hidden="false" customHeight="false" outlineLevel="0" collapsed="false">
      <c r="A24" s="6" t="s">
        <v>39</v>
      </c>
      <c r="B24" s="21" t="n">
        <v>6.12</v>
      </c>
      <c r="C24" s="21" t="n">
        <v>5.92</v>
      </c>
      <c r="D24" s="22" t="n">
        <v>3.29</v>
      </c>
      <c r="E24" s="22" t="n">
        <v>5.03</v>
      </c>
    </row>
    <row r="25" customFormat="false" ht="15" hidden="false" customHeight="false" outlineLevel="0" collapsed="false">
      <c r="A25" s="6" t="s">
        <v>40</v>
      </c>
      <c r="B25" s="23" t="n">
        <v>1.84</v>
      </c>
      <c r="C25" s="23" t="n">
        <v>1.77</v>
      </c>
      <c r="D25" s="24" t="n">
        <v>0.39</v>
      </c>
      <c r="E25" s="24" t="n">
        <v>1.14</v>
      </c>
    </row>
    <row r="26" customFormat="false" ht="15" hidden="false" customHeight="false" outlineLevel="0" collapsed="false">
      <c r="A26" s="6" t="s">
        <v>41</v>
      </c>
      <c r="B26" s="25" t="n">
        <v>160.1</v>
      </c>
      <c r="C26" s="25" t="n">
        <v>160.1</v>
      </c>
      <c r="D26" s="26" t="n">
        <v>28.4</v>
      </c>
      <c r="E26" s="26" t="n">
        <v>122.2</v>
      </c>
    </row>
    <row r="27" customFormat="false" ht="15" hidden="false" customHeight="false" outlineLevel="0" collapsed="false">
      <c r="A27" s="6" t="s">
        <v>42</v>
      </c>
      <c r="B27" s="9" t="n">
        <v>0.0988</v>
      </c>
      <c r="C27" s="9" t="n">
        <v>0.102</v>
      </c>
      <c r="D27" s="10" t="n">
        <v>-0.0821</v>
      </c>
      <c r="E27" s="10" t="n">
        <v>0.107</v>
      </c>
    </row>
    <row r="28" customFormat="false" ht="15" hidden="false" customHeight="false" outlineLevel="0" collapsed="false">
      <c r="A28" s="4" t="s">
        <v>43</v>
      </c>
      <c r="B28" s="5"/>
      <c r="C28" s="5"/>
      <c r="D28" s="5"/>
      <c r="E28" s="5"/>
    </row>
    <row r="29" customFormat="false" ht="15" hidden="false" customHeight="false" outlineLevel="0" collapsed="false">
      <c r="A29" s="6" t="s">
        <v>44</v>
      </c>
      <c r="B29" s="27" t="n">
        <v>0.0212</v>
      </c>
      <c r="C29" s="27" t="n">
        <v>0.0221</v>
      </c>
      <c r="D29" s="28" t="n">
        <v>0</v>
      </c>
      <c r="E29" s="28" t="n">
        <v>0.0057</v>
      </c>
    </row>
    <row r="30" customFormat="false" ht="15" hidden="false" customHeight="false" outlineLevel="0" collapsed="false">
      <c r="A30" s="6" t="s">
        <v>45</v>
      </c>
      <c r="B30" s="11" t="s">
        <v>46</v>
      </c>
      <c r="C30" s="11" t="s">
        <v>46</v>
      </c>
      <c r="D30" s="12" t="s">
        <v>47</v>
      </c>
      <c r="E30" s="12" t="s">
        <v>47</v>
      </c>
    </row>
    <row r="31" customFormat="false" ht="26.85" hidden="false" customHeight="false" outlineLevel="0" collapsed="false">
      <c r="A31" s="4" t="s">
        <v>48</v>
      </c>
      <c r="B31" s="5"/>
      <c r="C31" s="5"/>
      <c r="D31" s="5"/>
      <c r="E31" s="5"/>
    </row>
    <row r="32" customFormat="false" ht="15" hidden="false" customHeight="false" outlineLevel="0" collapsed="false">
      <c r="A32" s="6" t="s">
        <v>49</v>
      </c>
      <c r="B32" s="29" t="n">
        <v>5.1</v>
      </c>
      <c r="C32" s="29" t="n">
        <v>5.1</v>
      </c>
      <c r="D32" s="30" t="n">
        <v>4</v>
      </c>
      <c r="E32" s="30" t="n">
        <v>6.8</v>
      </c>
    </row>
    <row r="33" customFormat="false" ht="15" hidden="false" customHeight="false" outlineLevel="0" collapsed="false">
      <c r="A33" s="6" t="s">
        <v>50</v>
      </c>
      <c r="B33" s="29" t="n">
        <v>7.8</v>
      </c>
      <c r="C33" s="29" t="n">
        <v>7.8</v>
      </c>
      <c r="D33" s="30" t="n">
        <v>3.1</v>
      </c>
      <c r="E33" s="30" t="n">
        <v>8.3</v>
      </c>
    </row>
    <row r="34" customFormat="false" ht="15" hidden="false" customHeight="false" outlineLevel="0" collapsed="false">
      <c r="A34" s="6" t="s">
        <v>51</v>
      </c>
      <c r="B34" s="29" t="n">
        <v>5.4</v>
      </c>
      <c r="C34" s="29" t="n">
        <v>5.4</v>
      </c>
      <c r="D34" s="30" t="n">
        <v>4.2</v>
      </c>
      <c r="E34" s="30" t="n">
        <v>5.4</v>
      </c>
    </row>
    <row r="35" customFormat="false" ht="15" hidden="false" customHeight="false" outlineLevel="0" collapsed="false">
      <c r="A35" s="4" t="s">
        <v>52</v>
      </c>
      <c r="B35" s="5"/>
      <c r="C35" s="5"/>
      <c r="D35" s="5"/>
      <c r="E35" s="5"/>
    </row>
    <row r="36" customFormat="false" ht="15" hidden="false" customHeight="false" outlineLevel="0" collapsed="false">
      <c r="A36" s="6" t="s">
        <v>53</v>
      </c>
      <c r="B36" s="25" t="n">
        <v>453.2</v>
      </c>
      <c r="C36" s="25" t="n">
        <v>448.3</v>
      </c>
      <c r="D36" s="26" t="n">
        <v>14.4</v>
      </c>
      <c r="E36" s="26" t="n">
        <v>230</v>
      </c>
    </row>
    <row r="37" customFormat="false" ht="15" hidden="false" customHeight="false" outlineLevel="0" collapsed="false">
      <c r="A37" s="6" t="s">
        <v>54</v>
      </c>
      <c r="B37" s="31" t="n">
        <v>0.551</v>
      </c>
      <c r="C37" s="31" t="n">
        <v>0.584</v>
      </c>
      <c r="D37" s="32" t="n">
        <v>0.282</v>
      </c>
      <c r="E37" s="32" t="n">
        <v>0.629</v>
      </c>
    </row>
    <row r="39" customFormat="false" ht="15" hidden="false" customHeight="false" outlineLevel="0" collapsed="false">
      <c r="A39" s="33" t="s">
        <v>55</v>
      </c>
      <c r="B39" s="33"/>
      <c r="C39" s="33"/>
      <c r="D39" s="33"/>
      <c r="E39" s="33"/>
    </row>
    <row r="40" customFormat="false" ht="15" hidden="false" customHeight="false" outlineLevel="0" collapsed="false">
      <c r="A40" s="2" t="s">
        <v>56</v>
      </c>
      <c r="B40" s="2"/>
      <c r="C40" s="2"/>
      <c r="D40" s="2"/>
      <c r="E40" s="2"/>
    </row>
    <row r="41" customFormat="false" ht="15" hidden="false" customHeight="false" outlineLevel="0" collapsed="false">
      <c r="A41" s="2" t="s">
        <v>57</v>
      </c>
      <c r="B41" s="2"/>
      <c r="C41" s="2"/>
      <c r="D41" s="2"/>
      <c r="E41" s="2"/>
    </row>
    <row r="42" customFormat="false" ht="15" hidden="false" customHeight="false" outlineLevel="0" collapsed="false">
      <c r="A42" s="2" t="s">
        <v>58</v>
      </c>
      <c r="B42" s="2"/>
      <c r="C42" s="2"/>
      <c r="D42" s="2"/>
      <c r="E42" s="2"/>
    </row>
    <row r="43" customFormat="false" ht="15" hidden="false" customHeight="false" outlineLevel="0" collapsed="false">
      <c r="A43" s="2" t="s">
        <v>59</v>
      </c>
      <c r="B43" s="2"/>
      <c r="C43" s="2"/>
      <c r="D43" s="2"/>
      <c r="E43" s="2"/>
    </row>
  </sheetData>
  <mergeCells count="7">
    <mergeCell ref="A1:E1"/>
    <mergeCell ref="A2:E2"/>
    <mergeCell ref="A39:E39"/>
    <mergeCell ref="A40:E40"/>
    <mergeCell ref="A41:E41"/>
    <mergeCell ref="A42:E42"/>
    <mergeCell ref="A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3"/>
  </cols>
  <sheetData>
    <row r="1" customFormat="false" ht="16.15" hidden="false" customHeight="false" outlineLevel="0" collapsed="false">
      <c r="A1" s="34" t="s">
        <v>60</v>
      </c>
      <c r="B1" s="34"/>
      <c r="C1" s="34"/>
      <c r="D1" s="34"/>
    </row>
    <row r="3" customFormat="false" ht="15" hidden="false" customHeight="false" outlineLevel="0" collapsed="false">
      <c r="A3" s="35" t="s">
        <v>2</v>
      </c>
      <c r="B3" s="35" t="s">
        <v>61</v>
      </c>
      <c r="C3" s="35" t="s">
        <v>62</v>
      </c>
      <c r="D3" s="35" t="s">
        <v>63</v>
      </c>
    </row>
    <row r="4" customFormat="false" ht="15" hidden="false" customHeight="false" outlineLevel="0" collapsed="false">
      <c r="A4" s="6" t="s">
        <v>8</v>
      </c>
      <c r="B4" s="8" t="n">
        <v>293.8</v>
      </c>
      <c r="C4" s="8" t="n">
        <v>282.1</v>
      </c>
      <c r="D4" s="8" t="n">
        <f aca="false">C4-B4</f>
        <v>-11.7</v>
      </c>
    </row>
    <row r="5" customFormat="false" ht="15" hidden="false" customHeight="false" outlineLevel="0" collapsed="false">
      <c r="A5" s="6" t="s">
        <v>11</v>
      </c>
      <c r="B5" s="10" t="n">
        <v>-0.0448</v>
      </c>
      <c r="C5" s="10" t="n">
        <v>-0.0904</v>
      </c>
      <c r="D5" s="10" t="n">
        <f aca="false">C5-B5</f>
        <v>-0.0456</v>
      </c>
    </row>
    <row r="6" customFormat="false" ht="15" hidden="false" customHeight="false" outlineLevel="0" collapsed="false">
      <c r="A6" s="6" t="s">
        <v>64</v>
      </c>
      <c r="B6" s="26" t="n">
        <v>77.7</v>
      </c>
      <c r="C6" s="26" t="n">
        <v>74.6</v>
      </c>
      <c r="D6" s="26" t="n">
        <f aca="false">C6-B6</f>
        <v>-3.10000000000001</v>
      </c>
    </row>
    <row r="7" customFormat="false" ht="15" hidden="false" customHeight="false" outlineLevel="0" collapsed="false">
      <c r="A7" s="6" t="s">
        <v>36</v>
      </c>
      <c r="B7" s="22" t="n">
        <v>12.3</v>
      </c>
      <c r="C7" s="22" t="n">
        <v>11.9</v>
      </c>
      <c r="D7" s="22" t="n">
        <f aca="false">C7-B7</f>
        <v>-0.4</v>
      </c>
    </row>
    <row r="8" customFormat="false" ht="15" hidden="false" customHeight="false" outlineLevel="0" collapsed="false">
      <c r="A8" s="6" t="s">
        <v>37</v>
      </c>
      <c r="B8" s="22" t="n">
        <v>9.86</v>
      </c>
      <c r="C8" s="22" t="n">
        <v>9.34</v>
      </c>
      <c r="D8" s="22" t="n">
        <f aca="false">C8-B8</f>
        <v>-0.52</v>
      </c>
    </row>
    <row r="9" customFormat="false" ht="15" hidden="false" customHeight="false" outlineLevel="0" collapsed="false">
      <c r="A9" s="6" t="s">
        <v>38</v>
      </c>
      <c r="B9" s="14" t="n">
        <v>0.4</v>
      </c>
      <c r="C9" s="14" t="n">
        <v>0.38</v>
      </c>
      <c r="D9" s="14" t="n">
        <f aca="false">C9-B9</f>
        <v>-0.02</v>
      </c>
    </row>
    <row r="10" customFormat="false" ht="15" hidden="false" customHeight="false" outlineLevel="0" collapsed="false">
      <c r="A10" s="6" t="s">
        <v>39</v>
      </c>
      <c r="B10" s="22" t="n">
        <v>6.12</v>
      </c>
      <c r="C10" s="22" t="n">
        <v>5.92</v>
      </c>
      <c r="D10" s="22" t="n">
        <f aca="false">C10-B10</f>
        <v>-0.2</v>
      </c>
    </row>
    <row r="11" customFormat="false" ht="15" hidden="false" customHeight="false" outlineLevel="0" collapsed="false">
      <c r="A11" s="6" t="s">
        <v>42</v>
      </c>
      <c r="B11" s="32" t="n">
        <v>0.0988</v>
      </c>
      <c r="C11" s="32" t="n">
        <v>0.102</v>
      </c>
      <c r="D11" s="32" t="n">
        <f aca="false">C11-B11</f>
        <v>0.00319999999999999</v>
      </c>
    </row>
    <row r="12" customFormat="false" ht="15" hidden="false" customHeight="false" outlineLevel="0" collapsed="false">
      <c r="A12" s="6" t="s">
        <v>44</v>
      </c>
      <c r="B12" s="28" t="n">
        <v>0.0212</v>
      </c>
      <c r="C12" s="28" t="n">
        <v>0.0221</v>
      </c>
      <c r="D12" s="28" t="n">
        <f aca="false">C12-B12</f>
        <v>0.000900000000000002</v>
      </c>
    </row>
    <row r="13" customFormat="false" ht="15" hidden="false" customHeight="false" outlineLevel="0" collapsed="false">
      <c r="A13" s="6" t="s">
        <v>40</v>
      </c>
      <c r="B13" s="24" t="n">
        <v>1.84</v>
      </c>
      <c r="C13" s="24" t="n">
        <v>1.77</v>
      </c>
      <c r="D13" s="24" t="n">
        <f aca="false">C13-B13</f>
        <v>-0.0700000000000001</v>
      </c>
    </row>
    <row r="14" customFormat="false" ht="15" hidden="false" customHeight="false" outlineLevel="0" collapsed="false">
      <c r="A14" s="6" t="s">
        <v>65</v>
      </c>
      <c r="B14" s="18" t="n">
        <v>14</v>
      </c>
      <c r="C14" s="18" t="n">
        <v>15</v>
      </c>
      <c r="D14" s="18" t="n">
        <f aca="false">C14-B14</f>
        <v>1</v>
      </c>
    </row>
    <row r="15" customFormat="false" ht="15" hidden="false" customHeight="false" outlineLevel="0" collapsed="false">
      <c r="A15" s="6" t="s">
        <v>66</v>
      </c>
      <c r="B15" s="18" t="n">
        <v>6</v>
      </c>
      <c r="C15" s="18" t="n">
        <v>7</v>
      </c>
      <c r="D15" s="18" t="n">
        <f aca="false">C15-B15</f>
        <v>1</v>
      </c>
    </row>
    <row r="16" customFormat="false" ht="15" hidden="false" customHeight="false" outlineLevel="0" collapsed="false">
      <c r="A16" s="6" t="s">
        <v>53</v>
      </c>
      <c r="B16" s="26" t="n">
        <v>453.2</v>
      </c>
      <c r="C16" s="26" t="n">
        <v>448.3</v>
      </c>
      <c r="D16" s="26" t="n">
        <f aca="false">C16-B16</f>
        <v>-4.89999999999998</v>
      </c>
    </row>
    <row r="17" customFormat="false" ht="15" hidden="false" customHeight="false" outlineLevel="0" collapsed="false">
      <c r="A17" s="6" t="s">
        <v>54</v>
      </c>
      <c r="B17" s="32" t="n">
        <v>0.551</v>
      </c>
      <c r="C17" s="32" t="n">
        <v>0.584</v>
      </c>
      <c r="D17" s="32" t="n">
        <f aca="false">C17-B17</f>
        <v>0.0329999999999999</v>
      </c>
    </row>
    <row r="19" customFormat="false" ht="15" hidden="false" customHeight="false" outlineLevel="0" collapsed="false">
      <c r="A19" s="2" t="s">
        <v>67</v>
      </c>
      <c r="B19" s="2"/>
      <c r="C19" s="2"/>
      <c r="D19" s="2"/>
    </row>
  </sheetData>
  <mergeCells count="2">
    <mergeCell ref="A1:D1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5" min="3" style="0" width="13"/>
    <col collapsed="false" customWidth="true" hidden="false" outlineLevel="0" max="6" min="6" style="0" width="34"/>
  </cols>
  <sheetData>
    <row r="1" customFormat="false" ht="16.15" hidden="false" customHeight="false" outlineLevel="0" collapsed="false">
      <c r="A1" s="34" t="s">
        <v>68</v>
      </c>
      <c r="B1" s="34"/>
      <c r="C1" s="34"/>
      <c r="D1" s="34"/>
      <c r="E1" s="34"/>
      <c r="F1" s="34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5" t="s">
        <v>70</v>
      </c>
      <c r="B4" s="35" t="s">
        <v>71</v>
      </c>
      <c r="C4" s="35" t="s">
        <v>72</v>
      </c>
      <c r="D4" s="35" t="s">
        <v>73</v>
      </c>
      <c r="E4" s="35" t="s">
        <v>74</v>
      </c>
      <c r="F4" s="35" t="s">
        <v>75</v>
      </c>
    </row>
    <row r="5" customFormat="false" ht="15" hidden="false" customHeight="false" outlineLevel="0" collapsed="false">
      <c r="A5" s="6" t="s">
        <v>76</v>
      </c>
      <c r="B5" s="36" t="s">
        <v>77</v>
      </c>
      <c r="C5" s="37" t="s">
        <v>78</v>
      </c>
      <c r="D5" s="38" t="s">
        <v>79</v>
      </c>
      <c r="E5" s="37" t="s">
        <v>80</v>
      </c>
      <c r="F5" s="39" t="s">
        <v>81</v>
      </c>
    </row>
    <row r="6" customFormat="false" ht="15" hidden="false" customHeight="false" outlineLevel="0" collapsed="false">
      <c r="A6" s="6" t="s">
        <v>42</v>
      </c>
      <c r="B6" s="36" t="s">
        <v>82</v>
      </c>
      <c r="C6" s="37" t="s">
        <v>83</v>
      </c>
      <c r="D6" s="38" t="s">
        <v>84</v>
      </c>
      <c r="E6" s="37" t="s">
        <v>85</v>
      </c>
      <c r="F6" s="39" t="s">
        <v>86</v>
      </c>
    </row>
    <row r="7" customFormat="false" ht="15" hidden="false" customHeight="false" outlineLevel="0" collapsed="false">
      <c r="A7" s="6" t="s">
        <v>87</v>
      </c>
      <c r="B7" s="36" t="s">
        <v>88</v>
      </c>
      <c r="C7" s="40" t="s">
        <v>89</v>
      </c>
      <c r="D7" s="38" t="s">
        <v>90</v>
      </c>
      <c r="E7" s="40" t="s">
        <v>89</v>
      </c>
      <c r="F7" s="39" t="s">
        <v>91</v>
      </c>
    </row>
    <row r="8" customFormat="false" ht="15" hidden="false" customHeight="false" outlineLevel="0" collapsed="false">
      <c r="A8" s="6" t="s">
        <v>92</v>
      </c>
      <c r="B8" s="36" t="s">
        <v>93</v>
      </c>
      <c r="C8" s="37" t="s">
        <v>94</v>
      </c>
      <c r="D8" s="37" t="s">
        <v>94</v>
      </c>
      <c r="E8" s="37" t="s">
        <v>94</v>
      </c>
      <c r="F8" s="39" t="s">
        <v>95</v>
      </c>
    </row>
    <row r="9" customFormat="false" ht="15" hidden="false" customHeight="false" outlineLevel="0" collapsed="false">
      <c r="A9" s="6" t="s">
        <v>96</v>
      </c>
      <c r="B9" s="36" t="s">
        <v>97</v>
      </c>
      <c r="C9" s="38" t="s">
        <v>98</v>
      </c>
      <c r="D9" s="38" t="s">
        <v>98</v>
      </c>
      <c r="E9" s="37" t="s">
        <v>99</v>
      </c>
      <c r="F9" s="39" t="s">
        <v>100</v>
      </c>
    </row>
    <row r="10" customFormat="false" ht="15" hidden="false" customHeight="false" outlineLevel="0" collapsed="false">
      <c r="A10" s="6" t="s">
        <v>101</v>
      </c>
      <c r="B10" s="36" t="s">
        <v>102</v>
      </c>
      <c r="C10" s="40" t="s">
        <v>89</v>
      </c>
      <c r="D10" s="40" t="s">
        <v>89</v>
      </c>
      <c r="E10" s="40" t="s">
        <v>89</v>
      </c>
      <c r="F10" s="39" t="s">
        <v>103</v>
      </c>
    </row>
    <row r="11" customFormat="false" ht="15" hidden="false" customHeight="false" outlineLevel="0" collapsed="false">
      <c r="A11" s="6" t="s">
        <v>104</v>
      </c>
      <c r="B11" s="36" t="s">
        <v>105</v>
      </c>
      <c r="C11" s="40" t="s">
        <v>89</v>
      </c>
      <c r="D11" s="40" t="s">
        <v>89</v>
      </c>
      <c r="E11" s="40" t="s">
        <v>89</v>
      </c>
      <c r="F11" s="39" t="s">
        <v>106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2026-07-12T14:17:09Z</dcterms:created>
  <dc:creator>openpyxl</dc:creator>
  <dc:description/>
  <dc:language>en-US</dc:language>
  <cp:lastModifiedBy/>
  <dcterms:modified xsi:type="dcterms:W3CDTF">2026-07-12T14:17:09Z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